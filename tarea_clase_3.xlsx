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ete unq\materias\estadistica\tareas\"/>
    </mc:Choice>
  </mc:AlternateContent>
  <xr:revisionPtr revIDLastSave="0" documentId="8_{87CD464B-6AD0-47E8-AF3C-187CFA1AC7EB}" xr6:coauthVersionLast="47" xr6:coauthVersionMax="47" xr10:uidLastSave="{00000000-0000-0000-0000-000000000000}"/>
  <bookViews>
    <workbookView xWindow="-120" yWindow="-120" windowWidth="24240" windowHeight="13020" activeTab="1" xr2:uid="{1BDD1B21-D84A-4E2F-8D9C-ABE5F5ABE570}"/>
  </bookViews>
  <sheets>
    <sheet name="Prueba de 100 mts" sheetId="1" r:id="rId1"/>
    <sheet name="Estatura Alumnos" sheetId="2" r:id="rId2"/>
  </sheets>
  <definedNames>
    <definedName name="_xlchart.v1.0" hidden="1">'Prueba de 100 mts'!$B$5:$B$19</definedName>
    <definedName name="_xlchart.v1.1" hidden="1">'Estatura Alumnos'!$B$4</definedName>
    <definedName name="_xlchart.v1.2" hidden="1">'Estatura Alumnos'!$B$5:$B$24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6" i="1"/>
  <c r="E8" i="1"/>
  <c r="E7" i="1"/>
  <c r="E4" i="1"/>
  <c r="E5" i="1"/>
  <c r="E7" i="2"/>
  <c r="E6" i="2"/>
  <c r="E5" i="2"/>
  <c r="E4" i="2"/>
</calcChain>
</file>

<file path=xl/sharedStrings.xml><?xml version="1.0" encoding="utf-8"?>
<sst xmlns="http://schemas.openxmlformats.org/spreadsheetml/2006/main" count="49" uniqueCount="34">
  <si>
    <t>14.3</t>
  </si>
  <si>
    <t>12.6</t>
  </si>
  <si>
    <t>12.9</t>
  </si>
  <si>
    <t>14.4</t>
  </si>
  <si>
    <t>13.1</t>
  </si>
  <si>
    <t>13.5</t>
  </si>
  <si>
    <t>13.9</t>
  </si>
  <si>
    <t>14.2</t>
  </si>
  <si>
    <t>14.7</t>
  </si>
  <si>
    <t>Prueba mts</t>
  </si>
  <si>
    <t>Mediana</t>
  </si>
  <si>
    <t>Moda</t>
  </si>
  <si>
    <t>Cuartil 1</t>
  </si>
  <si>
    <t>Cuartil 3</t>
  </si>
  <si>
    <t>Q1</t>
  </si>
  <si>
    <t>Media</t>
  </si>
  <si>
    <t>Rango</t>
  </si>
  <si>
    <t>MED</t>
  </si>
  <si>
    <t>Q3</t>
  </si>
  <si>
    <t>1.75</t>
  </si>
  <si>
    <t>1.67</t>
  </si>
  <si>
    <t>1.70</t>
  </si>
  <si>
    <t>1.78</t>
  </si>
  <si>
    <t>1.61</t>
  </si>
  <si>
    <t>1.66</t>
  </si>
  <si>
    <t>1.71</t>
  </si>
  <si>
    <t>1.74</t>
  </si>
  <si>
    <t>1.79</t>
  </si>
  <si>
    <t>1.65</t>
  </si>
  <si>
    <t>1.73</t>
  </si>
  <si>
    <t>1.80</t>
  </si>
  <si>
    <t>1.63</t>
  </si>
  <si>
    <t>1.60</t>
  </si>
  <si>
    <t>Estatura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</si>
</sst>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rgb="FF7F7F7F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15">
    <xf numFmtId="0" fontId="0" fillId="0" borderId="0" xfId="0"/>
    <xf numFmtId="0" fontId="1" fillId="2" borderId="1" xfId="1"/>
    <xf numFmtId="2" fontId="1" fillId="2" borderId="1" xfId="1" applyNumberFormat="1"/>
    <xf numFmtId="2" fontId="1" fillId="2" borderId="5" xfId="1" applyNumberFormat="1" applyBorder="1"/>
    <xf numFmtId="49" fontId="1" fillId="2" borderId="4" xfId="1" applyNumberFormat="1" applyBorder="1"/>
    <xf numFmtId="49" fontId="1" fillId="2" borderId="3" xfId="1" applyNumberFormat="1" applyBorder="1"/>
    <xf numFmtId="0" fontId="3" fillId="4" borderId="0" xfId="3"/>
    <xf numFmtId="0" fontId="4" fillId="3" borderId="0" xfId="2"/>
    <xf numFmtId="49" fontId="4" fillId="3" borderId="4" xfId="2" applyNumberFormat="1" applyBorder="1"/>
    <xf numFmtId="49" fontId="4" fillId="3" borderId="2" xfId="2" applyNumberFormat="1" applyBorder="1"/>
    <xf numFmtId="0" fontId="1" fillId="2" borderId="4" xfId="1" applyBorder="1"/>
    <xf numFmtId="0" fontId="1" fillId="2" borderId="5" xfId="1" applyBorder="1"/>
    <xf numFmtId="0" fontId="1" fillId="2" borderId="3" xfId="1" applyBorder="1"/>
    <xf numFmtId="0" fontId="4" fillId="3" borderId="4" xfId="2" applyBorder="1"/>
    <xf numFmtId="0" fontId="4" fillId="3" borderId="2" xfId="2" applyBorder="1"/>
  </cellXfs>
  <cellStyles count="4">
    <cellStyle name="60% - Énfasis2" xfId="3" builtinId="36"/>
    <cellStyle name="Énfasis2" xfId="2" builtinId="33"/>
    <cellStyle name="Entrada" xfId="1" builtinId="20"/>
    <cellStyle name="Normal" xfId="0" builtinId="0"/>
  </cellStyles>
  <dxfs count="11">
    <dxf>
      <numFmt numFmtId="30" formatCode="@"/>
      <border diagonalUp="0" diagonalDown="0" outline="0">
        <left/>
        <right/>
        <top style="thin">
          <color rgb="FF7F7F7F"/>
        </top>
        <bottom style="thin">
          <color rgb="FF7F7F7F"/>
        </bottom>
      </border>
    </dxf>
    <dxf>
      <border outline="0">
        <top style="thin">
          <color rgb="FF7F7F7F"/>
        </top>
      </border>
    </dxf>
    <dxf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numFmt numFmtId="30" formatCode="@"/>
    </dxf>
    <dxf>
      <border outline="0">
        <bottom style="thin">
          <color rgb="FF7F7F7F"/>
        </bottom>
      </border>
    </dxf>
    <dxf>
      <numFmt numFmtId="2" formatCode="0.00"/>
    </dxf>
    <dxf>
      <fill>
        <patternFill patternType="solid">
          <fgColor rgb="FFFFCC99"/>
          <bgColor rgb="FFFFFFFF"/>
        </patternFill>
      </fill>
    </dxf>
    <dxf>
      <border diagonalUp="0" diagonalDown="0">
        <left/>
        <right/>
        <top style="thin">
          <color rgb="FF7F7F7F"/>
        </top>
        <bottom style="thin">
          <color rgb="FF7F7F7F"/>
        </bottom>
        <vertical/>
        <horizontal/>
      </border>
    </dxf>
    <dxf>
      <border outline="0">
        <top style="thin">
          <color rgb="FF7F7F7F"/>
        </top>
      </border>
    </dxf>
    <dxf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border outline="0">
        <bottom style="thin">
          <color rgb="FF7F7F7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Prueba sobre los 100 mts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Prueba sobre los 100 mts</a:t>
          </a:r>
        </a:p>
      </cx:txPr>
    </cx:title>
    <cx:plotArea>
      <cx:plotAreaRegion>
        <cx:series layoutId="clusteredColumn" uniqueId="{A6F11B6D-37F0-4B5C-B9F2-6B1AFADB7BDD}"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Estatura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Estatura</a:t>
          </a:r>
        </a:p>
      </cx:txPr>
    </cx:title>
    <cx:plotArea>
      <cx:plotAreaRegion>
        <cx:series layoutId="clusteredColumn" uniqueId="{B03BFDB6-E46C-439E-A37B-14865C051BF3}" formatIdx="0">
          <cx:tx>
            <cx:txData>
              <cx:f>_xlchart.v1.1</cx:f>
              <cx:v>Estatura</cx:v>
            </cx:txData>
          </cx:tx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4761</xdr:colOff>
      <xdr:row>3</xdr:row>
      <xdr:rowOff>114299</xdr:rowOff>
    </xdr:from>
    <xdr:to>
      <xdr:col>11</xdr:col>
      <xdr:colOff>761999</xdr:colOff>
      <xdr:row>21</xdr:row>
      <xdr:rowOff>123824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BE11641-E7B2-00F1-DB9F-67C2A1770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76836" y="657224"/>
              <a:ext cx="5091113" cy="3286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833437</xdr:colOff>
      <xdr:row>4</xdr:row>
      <xdr:rowOff>171450</xdr:rowOff>
    </xdr:from>
    <xdr:to>
      <xdr:col>11</xdr:col>
      <xdr:colOff>828675</xdr:colOff>
      <xdr:row>20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057C00E-3D60-898E-33EE-C2DD55234A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67312" y="895350"/>
              <a:ext cx="519588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B9ABC8F-8B9D-4199-9C36-7D6EB6B02D39}" name="Tabla10" displayName="Tabla10" ref="B4:B19" totalsRowShown="0" headerRowBorderDxfId="10" tableBorderDxfId="9" totalsRowBorderDxfId="8" headerRowCellStyle="Entrada" dataCellStyle="Entrada">
  <autoFilter ref="B4:B19" xr:uid="{6B9ABC8F-8B9D-4199-9C36-7D6EB6B02D39}"/>
  <sortState xmlns:xlrd2="http://schemas.microsoft.com/office/spreadsheetml/2017/richdata2" ref="B5:B19">
    <sortCondition ref="B4:B19"/>
  </sortState>
  <tableColumns count="1">
    <tableColumn id="1" xr3:uid="{C7496EA1-5F7E-4AE8-B906-A64097DFFBF1}" name="Prueba mts" dataDxfId="7" dataCellStyle="Entra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5DBC45-8258-421B-8A82-4DF75A21A61C}" name="Tabla9" displayName="Tabla9" ref="B4:B24" totalsRowShown="0" headerRowDxfId="5" dataDxfId="3" headerRowBorderDxfId="4" tableBorderDxfId="2" totalsRowBorderDxfId="1" headerRowCellStyle="Entrada" dataCellStyle="Entrada">
  <autoFilter ref="B4:B24" xr:uid="{0B5DBC45-8258-421B-8A82-4DF75A21A61C}"/>
  <sortState xmlns:xlrd2="http://schemas.microsoft.com/office/spreadsheetml/2017/richdata2" ref="B5:B24">
    <sortCondition ref="B4:B24"/>
  </sortState>
  <tableColumns count="1">
    <tableColumn id="1" xr3:uid="{3EDA8360-237B-4E27-B844-5AADFAC32430}" name="Estatura" dataDxfId="0" dataCellStyle="Entrada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1546-7671-4F8E-B818-25362403E5DB}">
  <dimension ref="B2:P19"/>
  <sheetViews>
    <sheetView topLeftCell="A4" workbookViewId="0">
      <selection activeCell="E9" sqref="E9"/>
    </sheetView>
  </sheetViews>
  <sheetFormatPr baseColWidth="10" defaultColWidth="11.375" defaultRowHeight="14.25"/>
  <cols>
    <col min="2" max="2" width="11.375" customWidth="1"/>
    <col min="3" max="3" width="11" customWidth="1"/>
  </cols>
  <sheetData>
    <row r="2" spans="2:16">
      <c r="B2" s="1" t="s">
        <v>0</v>
      </c>
      <c r="C2" s="1" t="s">
        <v>1</v>
      </c>
      <c r="D2" s="1">
        <v>13</v>
      </c>
      <c r="E2" s="1">
        <v>13</v>
      </c>
      <c r="F2" s="1" t="s">
        <v>2</v>
      </c>
      <c r="G2" s="1" t="s">
        <v>3</v>
      </c>
      <c r="H2" s="1" t="s">
        <v>1</v>
      </c>
      <c r="I2" s="1" t="s">
        <v>4</v>
      </c>
      <c r="J2" s="1">
        <v>13</v>
      </c>
      <c r="K2" s="1">
        <v>12</v>
      </c>
      <c r="L2" s="1" t="s">
        <v>5</v>
      </c>
      <c r="M2" s="1" t="s">
        <v>6</v>
      </c>
      <c r="N2" s="1" t="s">
        <v>1</v>
      </c>
      <c r="O2" s="1" t="s">
        <v>7</v>
      </c>
      <c r="P2" s="1" t="s">
        <v>8</v>
      </c>
    </row>
    <row r="4" spans="2:16">
      <c r="B4" s="11" t="s">
        <v>9</v>
      </c>
      <c r="D4" s="6" t="s">
        <v>10</v>
      </c>
      <c r="E4" s="7">
        <f>MEDIAN(Tabla10[Prueba mts])</f>
        <v>13</v>
      </c>
    </row>
    <row r="5" spans="2:16">
      <c r="B5" s="10">
        <v>12</v>
      </c>
      <c r="D5" s="6" t="s">
        <v>11</v>
      </c>
      <c r="E5" s="7">
        <f>MODE(Tabla10[Prueba mts])</f>
        <v>12.6</v>
      </c>
    </row>
    <row r="6" spans="2:16">
      <c r="B6" s="10">
        <v>12.6</v>
      </c>
      <c r="D6" s="6" t="s">
        <v>12</v>
      </c>
      <c r="E6" s="7">
        <f>_xlfn.QUARTILE.INC(Tabla10[Prueba mts],1)</f>
        <v>12.75</v>
      </c>
    </row>
    <row r="7" spans="2:16">
      <c r="B7" s="10">
        <v>12.6</v>
      </c>
      <c r="D7" s="6" t="s">
        <v>13</v>
      </c>
      <c r="E7" s="7">
        <f>_xlfn.QUARTILE.INC(Tabla10[Prueba mts],3)</f>
        <v>14.05</v>
      </c>
    </row>
    <row r="8" spans="2:16">
      <c r="B8" s="13">
        <v>12.6</v>
      </c>
      <c r="C8" s="7" t="s">
        <v>14</v>
      </c>
      <c r="D8" s="6" t="s">
        <v>15</v>
      </c>
      <c r="E8" s="7">
        <f>AVERAGE(Tabla10[Prueba mts])</f>
        <v>13.32</v>
      </c>
    </row>
    <row r="9" spans="2:16">
      <c r="B9" s="10">
        <v>12.9</v>
      </c>
      <c r="D9" s="6" t="s">
        <v>16</v>
      </c>
      <c r="E9" s="7">
        <f>MAX(Tabla10[Prueba mts]) - MIN(Tabla10[Prueba mts])</f>
        <v>2.6999999999999993</v>
      </c>
    </row>
    <row r="10" spans="2:16">
      <c r="B10" s="10">
        <v>13</v>
      </c>
    </row>
    <row r="11" spans="2:16">
      <c r="B11" s="10">
        <v>13</v>
      </c>
    </row>
    <row r="12" spans="2:16" ht="15" thickBot="1">
      <c r="B12" s="14">
        <v>13</v>
      </c>
      <c r="C12" s="7" t="s">
        <v>17</v>
      </c>
    </row>
    <row r="13" spans="2:16" ht="15" thickTop="1">
      <c r="B13" s="10">
        <v>13.1</v>
      </c>
    </row>
    <row r="14" spans="2:16">
      <c r="B14" s="10">
        <v>13.5</v>
      </c>
    </row>
    <row r="15" spans="2:16">
      <c r="B15" s="10">
        <v>13.9</v>
      </c>
    </row>
    <row r="16" spans="2:16">
      <c r="B16" s="13">
        <v>14.2</v>
      </c>
      <c r="C16" s="7" t="s">
        <v>18</v>
      </c>
    </row>
    <row r="17" spans="2:2">
      <c r="B17" s="10">
        <v>14.3</v>
      </c>
    </row>
    <row r="18" spans="2:2">
      <c r="B18" s="10">
        <v>14.4</v>
      </c>
    </row>
    <row r="19" spans="2:2">
      <c r="B19" s="12">
        <v>14.7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76C7-5DD3-4DD4-B8E5-8BD574DE705D}">
  <dimension ref="B2:U24"/>
  <sheetViews>
    <sheetView tabSelected="1" topLeftCell="A2" workbookViewId="0">
      <selection activeCell="E4" sqref="E4"/>
    </sheetView>
  </sheetViews>
  <sheetFormatPr baseColWidth="10" defaultColWidth="11.375" defaultRowHeight="14.25"/>
  <cols>
    <col min="2" max="2" width="11.375" customWidth="1"/>
  </cols>
  <sheetData>
    <row r="2" spans="2:21">
      <c r="B2" s="2" t="s">
        <v>19</v>
      </c>
      <c r="C2" s="2" t="s">
        <v>20</v>
      </c>
      <c r="D2" s="2" t="s">
        <v>21</v>
      </c>
      <c r="E2" s="2" t="s">
        <v>22</v>
      </c>
      <c r="F2" s="2" t="s">
        <v>21</v>
      </c>
      <c r="G2" s="2" t="s">
        <v>23</v>
      </c>
      <c r="H2" s="2" t="s">
        <v>20</v>
      </c>
      <c r="I2" s="2" t="s">
        <v>24</v>
      </c>
      <c r="J2" s="2" t="s">
        <v>20</v>
      </c>
      <c r="K2" s="2" t="s">
        <v>22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30</v>
      </c>
      <c r="T2" s="2" t="s">
        <v>32</v>
      </c>
      <c r="U2" s="2" t="s">
        <v>20</v>
      </c>
    </row>
    <row r="4" spans="2:21">
      <c r="B4" s="3" t="s">
        <v>33</v>
      </c>
      <c r="D4" s="6" t="s">
        <v>10</v>
      </c>
      <c r="E4" s="7">
        <f>MEDIAN(Tabla9[Estatura])</f>
        <v>170</v>
      </c>
    </row>
    <row r="5" spans="2:21">
      <c r="B5" s="4">
        <v>160</v>
      </c>
      <c r="D5" s="6" t="s">
        <v>11</v>
      </c>
      <c r="E5" s="7">
        <f>MODE(Tabla9[Estatura])</f>
        <v>167</v>
      </c>
    </row>
    <row r="6" spans="2:21">
      <c r="B6" s="4">
        <v>161</v>
      </c>
      <c r="D6" s="6" t="s">
        <v>12</v>
      </c>
      <c r="E6" s="7">
        <f>_xlfn.QUARTILE.INC(Tabla9[Estatura],1)</f>
        <v>166.75</v>
      </c>
    </row>
    <row r="7" spans="2:21">
      <c r="B7" s="4">
        <v>163</v>
      </c>
      <c r="D7" s="6" t="s">
        <v>13</v>
      </c>
      <c r="E7" s="7">
        <f>_xlfn.QUARTILE.INC(Tabla9[Estatura],3)</f>
        <v>175.75</v>
      </c>
    </row>
    <row r="8" spans="2:21">
      <c r="B8" s="4">
        <v>165</v>
      </c>
    </row>
    <row r="9" spans="2:21">
      <c r="B9" s="8">
        <v>166</v>
      </c>
      <c r="C9" s="7" t="s">
        <v>14</v>
      </c>
    </row>
    <row r="10" spans="2:21">
      <c r="B10" s="4">
        <v>167</v>
      </c>
    </row>
    <row r="11" spans="2:21">
      <c r="B11" s="4">
        <v>167</v>
      </c>
    </row>
    <row r="12" spans="2:21">
      <c r="B12" s="4">
        <v>167</v>
      </c>
    </row>
    <row r="13" spans="2:21">
      <c r="B13" s="4">
        <v>167</v>
      </c>
    </row>
    <row r="14" spans="2:21" ht="15" thickBot="1">
      <c r="B14" s="9">
        <v>170</v>
      </c>
      <c r="C14" s="7" t="s">
        <v>17</v>
      </c>
    </row>
    <row r="15" spans="2:21" ht="15" thickTop="1">
      <c r="B15" s="4">
        <v>170</v>
      </c>
    </row>
    <row r="16" spans="2:21">
      <c r="B16" s="4">
        <v>171</v>
      </c>
    </row>
    <row r="17" spans="2:3">
      <c r="B17" s="4">
        <v>173</v>
      </c>
    </row>
    <row r="18" spans="2:3">
      <c r="B18" s="4">
        <v>174</v>
      </c>
    </row>
    <row r="19" spans="2:3">
      <c r="B19" s="8">
        <v>175</v>
      </c>
      <c r="C19" s="7" t="s">
        <v>18</v>
      </c>
    </row>
    <row r="20" spans="2:3">
      <c r="B20" s="4">
        <v>178</v>
      </c>
    </row>
    <row r="21" spans="2:3">
      <c r="B21" s="4">
        <v>178</v>
      </c>
    </row>
    <row r="22" spans="2:3">
      <c r="B22" s="4">
        <v>179</v>
      </c>
    </row>
    <row r="23" spans="2:3">
      <c r="B23" s="4">
        <v>180</v>
      </c>
    </row>
    <row r="24" spans="2:3">
      <c r="B24" s="5">
        <v>180</v>
      </c>
    </row>
  </sheetData>
  <sortState xmlns:xlrd2="http://schemas.microsoft.com/office/spreadsheetml/2017/richdata2" ref="B2:U2">
    <sortCondition sortBy="cellColor" ref="B2" dxfId="6"/>
  </sortState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 de 100 mts</vt:lpstr>
      <vt:lpstr>Estatura Alumnos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Mancha XD</dc:creator>
  <cp:keywords/>
  <dc:description/>
  <cp:lastModifiedBy>Mancha XD</cp:lastModifiedBy>
  <cp:revision/>
  <dcterms:created xsi:type="dcterms:W3CDTF">2025-05-27T15:44:20Z</dcterms:created>
  <dcterms:modified xsi:type="dcterms:W3CDTF">2025-06-02T15:43:43Z</dcterms:modified>
  <cp:category/>
  <cp:contentStatus/>
</cp:coreProperties>
</file>